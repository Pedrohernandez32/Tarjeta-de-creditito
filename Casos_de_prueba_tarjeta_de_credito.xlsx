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Tarjeta Credito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<sst xmlns="http://schemas.openxmlformats.org/spreadsheetml/2006/main" count="33" uniqueCount="29">
  <si>
    <t xml:space="preserve">ENTRADAS</t>
  </si>
  <si>
    <t xml:space="preserve">SALIDAS</t>
  </si>
  <si>
    <t xml:space="preserve">Casos Normales</t>
  </si>
  <si>
    <t xml:space="preserve">Valor de la Compra</t>
  </si>
  <si>
    <t xml:space="preserve">Tasa de Interés Mensual</t>
  </si>
  <si>
    <t xml:space="preserve">Plazo en meses</t>
  </si>
  <si>
    <t xml:space="preserve">Salida</t>
  </si>
  <si>
    <t xml:space="preserve">Cuota Mensual</t>
  </si>
  <si>
    <t xml:space="preserve">Total Abonos</t>
  </si>
  <si>
    <t xml:space="preserve">Total Intereses</t>
  </si>
  <si>
    <t xml:space="preserve">Caso Normal 1</t>
  </si>
  <si>
    <t xml:space="preserve">Caso Normal 2</t>
  </si>
  <si>
    <t xml:space="preserve">Caso Normal 3</t>
  </si>
  <si>
    <t xml:space="preserve">Casos Extraordinarios</t>
  </si>
  <si>
    <t xml:space="preserve">Tasa cero </t>
  </si>
  <si>
    <t xml:space="preserve">Cuota unica </t>
  </si>
  <si>
    <t xml:space="preserve">Tasa limite</t>
  </si>
  <si>
    <t xml:space="preserve">Casos de Error</t>
  </si>
  <si>
    <t xml:space="preserve">Error Compra </t>
  </si>
  <si>
    <t xml:space="preserve">ERROR, la compra debe ser mayor que cero</t>
  </si>
  <si>
    <t xml:space="preserve">ERROR: El valor de la compra debe ser mayor que cero</t>
  </si>
  <si>
    <t xml:space="preserve">Usura </t>
  </si>
  <si>
    <t xml:space="preserve">ERROR: La tasa es superior al maxímo de usura de 4% mensual</t>
  </si>
  <si>
    <t xml:space="preserve">Error Cuotas </t>
  </si>
  <si>
    <t xml:space="preserve">ERROR, debe indicaral menos una cuota</t>
  </si>
  <si>
    <t xml:space="preserve">ERROR: El numero de cuotas debe estar entre 1 y 60</t>
  </si>
  <si>
    <t xml:space="preserve">Error Demasiadas Cuotas </t>
  </si>
  <si>
    <t xml:space="preserve">Error Negativo </t>
  </si>
  <si>
    <t xml:space="preserve">ERROR, el numero de cuotas debe ser mayor que cero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</si>
</sst>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\$* #,##0.00_);_(\$* \(#,##0.00\);_(\$* \-??_);_(@_)"/>
    <numFmt numFmtId="166" formatCode="_-&quot;$ &quot;* #,##0_-;&quot;-$ &quot;* #,##0_-;_-&quot;$ &quot;* \-??_-;_-@_-"/>
    <numFmt numFmtId="167" formatCode="0%"/>
    <numFmt numFmtId="168" formatCode="_-* #,##0.00_-;\-* #,##0.00_-;_-* \-??_-;_-@_-"/>
    <numFmt numFmtId="169" formatCode="_-* #,##0_-;\-* #,##0_-;_-* \-??_-;_-@_-"/>
    <numFmt numFmtId="170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5998"/>
        <bgColor rgb="FF99CCFF"/>
      </patternFill>
    </fill>
    <fill>
      <patternFill patternType="solid">
        <fgColor theme="9" tint="0.599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20"/>
  <sheetViews>
    <sheetView showFormulas="false" showGridLines="true" showRowColHeaders="true" showZeros="true" rightToLeft="false" tabSelected="true" showOutlineSymbols="true" defaultGridColor="true" view="normal" topLeftCell="A2" colorId="64" zoomScale="116" zoomScaleNormal="116" zoomScalePageLayoutView="100" workbookViewId="0">
      <selection pane="topLeft" activeCell="B15" activeCellId="0" sqref="B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3.11"/>
    <col collapsed="false" customWidth="true" hidden="false" outlineLevel="0" max="2" min="2" style="0" width="16.11"/>
    <col collapsed="false" customWidth="true" hidden="false" outlineLevel="0" max="3" min="3" style="0" width="12"/>
    <col collapsed="false" customWidth="true" hidden="false" outlineLevel="0" max="4" min="4" style="0" width="12.56"/>
    <col collapsed="false" customWidth="true" hidden="false" outlineLevel="0" max="5" min="5" style="0" width="45.33"/>
    <col collapsed="false" customWidth="true" hidden="false" outlineLevel="0" max="6" min="6" style="0" width="52.44"/>
    <col collapsed="false" customWidth="true" hidden="false" outlineLevel="0" max="7" min="7" style="0" width="18.56"/>
    <col collapsed="false" customWidth="true" hidden="false" outlineLevel="0" max="8" min="8" style="0" width="16"/>
    <col collapsed="false" customWidth="true" hidden="false" outlineLevel="0" max="9" min="9" style="0" width="96.21"/>
    <col collapsed="false" customWidth="true" hidden="false" outlineLevel="0" max="10" min="10" style="0" width="12.33"/>
    <col collapsed="false" customWidth="true" hidden="false" outlineLevel="0" max="11" min="11" style="0" width="13.67"/>
  </cols>
  <sheetData>
    <row r="3" customFormat="false" ht="14.25" hidden="false" customHeight="false" outlineLevel="0" collapsed="false">
      <c r="B3" s="1" t="s">
        <v>0</v>
      </c>
      <c r="C3" s="1"/>
      <c r="D3" s="1"/>
      <c r="F3" s="2" t="s">
        <v>1</v>
      </c>
      <c r="G3" s="2"/>
      <c r="H3" s="2"/>
    </row>
    <row r="4" customFormat="false" ht="42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4.25" hidden="false" customHeight="false" outlineLevel="0" collapsed="false">
      <c r="A5" s="3" t="s">
        <v>2</v>
      </c>
    </row>
    <row r="6" customFormat="false" ht="14.25" hidden="false" customHeight="false" outlineLevel="0" collapsed="false">
      <c r="A6" s="0" t="s">
        <v>10</v>
      </c>
      <c r="B6" s="5" t="n">
        <v>350000</v>
      </c>
      <c r="C6" s="6" t="n">
        <v>0.028</v>
      </c>
      <c r="D6" s="0" t="n">
        <v>18</v>
      </c>
      <c r="E6" s="7" t="n">
        <f aca="false">(B6*C6) / (1 - POWER( (1+C6), -D6) )</f>
        <v>25019.6948178495</v>
      </c>
      <c r="F6" s="8" t="n">
        <f aca="false">PMT(C6,D6,B6)*-1</f>
        <v>25019.6948178495</v>
      </c>
      <c r="G6" s="5" t="n">
        <f aca="false">F6*D6</f>
        <v>450354.506721291</v>
      </c>
      <c r="H6" s="5" t="n">
        <f aca="false">ROUND(G6-B6,2)</f>
        <v>100354.51</v>
      </c>
      <c r="I6" s="0" t="str">
        <f aca="false">A6&amp;"\n\nEntradas:\n- Monto: " &amp; B6 &amp; "\n- Tasa: " &amp; C6*100 &amp; "%\n- Cuotas: " &amp; D6 &amp; "\nSalidas\nTotal Intereses: " &amp; H6</f>
        <v>Caso Normal 1\n\nEntradas:\n- Monto: 350000\n- Tasa: 2.8%\n- Cuotas: 18\nSalidas\nTotal Intereses: 100354.51</v>
      </c>
    </row>
    <row r="7" customFormat="false" ht="14.25" hidden="false" customHeight="false" outlineLevel="0" collapsed="false">
      <c r="A7" s="0" t="s">
        <v>11</v>
      </c>
      <c r="B7" s="5" t="n">
        <v>1200000</v>
      </c>
      <c r="C7" s="6" t="n">
        <v>0.021</v>
      </c>
      <c r="D7" s="0" t="n">
        <v>48</v>
      </c>
      <c r="E7" s="7" t="n">
        <f aca="false">(B7*C7) / (1 - POWER( (1+C7), -D7) )</f>
        <v>39922.5293444899</v>
      </c>
      <c r="F7" s="8" t="n">
        <f aca="false">PMT(C7,D7,B7)*-1</f>
        <v>39922.5293444898</v>
      </c>
      <c r="G7" s="5" t="n">
        <f aca="false">F7*D7</f>
        <v>1916281.40853551</v>
      </c>
      <c r="H7" s="5" t="n">
        <f aca="false">ROUND(G7-B7,2)</f>
        <v>716281.41</v>
      </c>
      <c r="I7" s="0" t="str">
        <f aca="false">A7&amp;"\n\nEntradas:\n- Monto: " &amp; B7 &amp; "\n- Tasa: " &amp; C7*100 &amp; "%\n- Cuotas: " &amp; D7 &amp; "\nSalidas\nTotal Intereses: " &amp; H7</f>
        <v>Caso Normal 2\n\nEntradas:\n- Monto: 1200000\n- Tasa: 2.1%\n- Cuotas: 48\nSalidas\nTotal Intereses: 716281.41</v>
      </c>
    </row>
    <row r="8" customFormat="false" ht="14.25" hidden="false" customHeight="false" outlineLevel="0" collapsed="false">
      <c r="A8" s="9" t="s">
        <v>12</v>
      </c>
      <c r="B8" s="10" t="n">
        <v>850000</v>
      </c>
      <c r="C8" s="11" t="n">
        <v>0.025</v>
      </c>
      <c r="D8" s="9" t="n">
        <v>30</v>
      </c>
      <c r="E8" s="7" t="n">
        <f aca="false">(B8*C8) / (1 - POWER( (1+C8), -D8) )</f>
        <v>40610.9946257501</v>
      </c>
      <c r="F8" s="8" t="n">
        <f aca="false">PMT(C8,D8,B8)*-1</f>
        <v>40610.99462575</v>
      </c>
      <c r="G8" s="10" t="n">
        <f aca="false">F8*D8</f>
        <v>1218329.8387725</v>
      </c>
      <c r="H8" s="10" t="n">
        <f aca="false">ROUND(G8-B8,2)</f>
        <v>368329.84</v>
      </c>
      <c r="I8" s="9" t="str">
        <f aca="false">A8&amp;"\n\nEntradas:\n- Monto: " &amp; B8 &amp; "\n- Tasa: " &amp; C8*100 &amp; "%\n- Cuotas: " &amp; D8 &amp; "\nSalidas\nTotal Intereses: " &amp; H8</f>
        <v>Caso Normal 3\n\nEntradas:\n- Monto: 850000\n- Tasa: 2.5%\n- Cuotas: 30\nSalidas\nTotal Intereses: 368329.84</v>
      </c>
    </row>
    <row r="10" customFormat="false" ht="14.25" hidden="false" customHeight="false" outlineLevel="0" collapsed="false">
      <c r="A10" s="3" t="s">
        <v>13</v>
      </c>
    </row>
    <row r="11" customFormat="false" ht="14.25" hidden="false" customHeight="false" outlineLevel="0" collapsed="false">
      <c r="A11" s="0" t="s">
        <v>14</v>
      </c>
      <c r="B11" s="5" t="n">
        <v>600000</v>
      </c>
      <c r="C11" s="6" t="n">
        <v>0</v>
      </c>
      <c r="D11" s="0" t="n">
        <v>60</v>
      </c>
      <c r="E11" s="7" t="n">
        <f aca="false">B11/D11</f>
        <v>10000</v>
      </c>
      <c r="F11" s="7" t="n">
        <f aca="false">PMT(C11,D11,B11)*-1</f>
        <v>10000</v>
      </c>
      <c r="G11" s="7" t="n">
        <f aca="false">F11*D11</f>
        <v>600000</v>
      </c>
      <c r="H11" s="12" t="n">
        <f aca="false">ROUND(G11-B11,2)</f>
        <v>0</v>
      </c>
      <c r="I11" s="0" t="str">
        <f aca="false">A11&amp;"\n\nEntradas:\n- Monto: " &amp; B11 &amp; "\n- Tasa: " &amp; C11*100 &amp; "%\n- Cuotas: " &amp; D11 &amp; "\nSalidas\nTotal Intereses: " &amp; H11</f>
        <v>Tasa cero \n\nEntradas:\n- Monto: 600000\n- Tasa: 0%\n- Cuotas: 60\nSalidas\nTotal Intereses: 0</v>
      </c>
    </row>
    <row r="12" customFormat="false" ht="14.25" hidden="false" customHeight="false" outlineLevel="0" collapsed="false">
      <c r="A12" s="0" t="s">
        <v>15</v>
      </c>
      <c r="B12" s="5" t="n">
        <v>45000</v>
      </c>
      <c r="C12" s="6" t="n">
        <v>0.039</v>
      </c>
      <c r="D12" s="0" t="n">
        <v>1</v>
      </c>
      <c r="E12" s="7" t="n">
        <v>45000</v>
      </c>
      <c r="F12" s="7" t="n">
        <v>45000</v>
      </c>
      <c r="G12" s="7" t="n">
        <f aca="false">F12*D12</f>
        <v>45000</v>
      </c>
      <c r="H12" s="12" t="n">
        <f aca="false">ROUND(G12-B12,2)</f>
        <v>0</v>
      </c>
      <c r="I12" s="0" t="str">
        <f aca="false">A12&amp;"\n\nEntradas:\n- Monto: " &amp; B12 &amp; "\n- Tasa: " &amp; C12*100 &amp; "%\n- Cuotas: " &amp; D12 &amp; "\nSalidas\nTotal Intereses: " &amp; H12</f>
        <v>Cuota unica \n\nEntradas:\n- Monto: 45000\n- Tasa: 3.9%\n- Cuotas: 1\nSalidas\nTotal Intereses: 0</v>
      </c>
    </row>
    <row r="13" customFormat="false" ht="14.25" hidden="false" customHeight="false" outlineLevel="0" collapsed="false">
      <c r="A13" s="9" t="s">
        <v>16</v>
      </c>
      <c r="B13" s="10" t="n">
        <v>500000</v>
      </c>
      <c r="C13" s="11" t="n">
        <v>0.0399</v>
      </c>
      <c r="D13" s="9" t="n">
        <v>36</v>
      </c>
      <c r="E13" s="7" t="n">
        <f aca="false">(B13*C13) / (1 - POWER( (1+C13), -D13) )</f>
        <v>26406.8320076436</v>
      </c>
      <c r="F13" s="8" t="n">
        <f aca="false">PMT(C13,D13,B13)*-1</f>
        <v>26406.8320076436</v>
      </c>
      <c r="G13" s="10" t="n">
        <f aca="false">F13*D13</f>
        <v>950645.952275169</v>
      </c>
      <c r="H13" s="10" t="n">
        <f aca="false">ROUND(G13-B13,2)</f>
        <v>450645.95</v>
      </c>
      <c r="I13" s="9" t="str">
        <f aca="false">A13&amp;"\n\nEntradas:\n- Monto: " &amp; B13 &amp; "\n- Tasa: " &amp; C13*100 &amp; "%\n- Cuotas: " &amp; D13 &amp; "\nSalidas\nTotal Intereses: " &amp; H13</f>
        <v>Tasa limite\n\nEntradas:\n- Monto: 500000\n- Tasa: 3.99%\n- Cuotas: 36\nSalidas\nTotal Intereses: 450645.95</v>
      </c>
    </row>
    <row r="15" customFormat="false" ht="14.25" hidden="false" customHeight="false" outlineLevel="0" collapsed="false">
      <c r="A15" s="3" t="s">
        <v>17</v>
      </c>
    </row>
    <row r="16" customFormat="false" ht="14.25" hidden="false" customHeight="false" outlineLevel="0" collapsed="false">
      <c r="A16" s="0" t="s">
        <v>18</v>
      </c>
      <c r="B16" s="5" t="n">
        <v>-50000</v>
      </c>
      <c r="C16" s="6" t="n">
        <v>0.02</v>
      </c>
      <c r="D16" s="0" t="n">
        <v>36</v>
      </c>
      <c r="E16" s="12" t="s">
        <v>19</v>
      </c>
      <c r="F16" s="12" t="s">
        <v>20</v>
      </c>
    </row>
    <row r="17" customFormat="false" ht="14.25" hidden="false" customHeight="false" outlineLevel="0" collapsed="false">
      <c r="A17" s="0" t="s">
        <v>21</v>
      </c>
      <c r="B17" s="5" t="n">
        <v>300000</v>
      </c>
      <c r="C17" s="6" t="n">
        <v>0.045</v>
      </c>
      <c r="D17" s="0" t="n">
        <v>24</v>
      </c>
      <c r="E17" s="7" t="n">
        <f aca="false">(B16*C16) / (1 - POWER( (1+C16), -D16) )</f>
        <v>-1961.64262988991</v>
      </c>
      <c r="F17" s="12" t="s">
        <v>22</v>
      </c>
      <c r="I17" s="0" t="str">
        <f aca="false">A16&amp;"\n\nEntradas:\n- Monto: " &amp; B16 &amp; "\n- Tasa: " &amp; C16*100 &amp; "%\n- Cuotas: " &amp; D16 &amp; "\nSalidas\nTotal Intereses: "</f>
        <v>Error Compra \n\nEntradas:\n- Monto: -50000\n- Tasa: 2%\n- Cuotas: 36\nSalidas\nTotal Intereses: </v>
      </c>
    </row>
    <row r="18" customFormat="false" ht="14.25" hidden="false" customHeight="false" outlineLevel="0" collapsed="false">
      <c r="A18" s="0" t="s">
        <v>23</v>
      </c>
      <c r="B18" s="5" t="n">
        <v>120000</v>
      </c>
      <c r="C18" s="6" t="n">
        <v>0.03</v>
      </c>
      <c r="D18" s="0" t="n">
        <v>0</v>
      </c>
      <c r="E18" s="12" t="s">
        <v>24</v>
      </c>
      <c r="F18" s="12" t="s">
        <v>25</v>
      </c>
      <c r="I18" s="0" t="str">
        <f aca="false">A17&amp;"\n\nEntradas:\n- Monto: " &amp; B17 &amp; "\n- Tasa: " &amp; C17*100 &amp; "%\n- Cuotas: " &amp; D17 &amp; "\nSalidas\nTotal Intereses: "</f>
        <v>Usura \n\nEntradas:\n- Monto: 300000\n- Tasa: 4.5%\n- Cuotas: 24\nSalidas\nTotal Intereses: </v>
      </c>
    </row>
    <row r="19" customFormat="false" ht="14.25" hidden="false" customHeight="false" outlineLevel="0" collapsed="false">
      <c r="A19" s="0" t="s">
        <v>26</v>
      </c>
      <c r="B19" s="5" t="n">
        <v>95000</v>
      </c>
      <c r="C19" s="6" t="n">
        <v>0.028</v>
      </c>
      <c r="D19" s="0" t="n">
        <v>84</v>
      </c>
      <c r="E19" s="12" t="s">
        <v>24</v>
      </c>
      <c r="F19" s="12" t="s">
        <v>25</v>
      </c>
    </row>
    <row r="20" customFormat="false" ht="14.25" hidden="false" customHeight="false" outlineLevel="0" collapsed="false">
      <c r="A20" s="0" t="s">
        <v>27</v>
      </c>
      <c r="B20" s="5" t="n">
        <v>70000</v>
      </c>
      <c r="C20" s="6" t="n">
        <v>0.015</v>
      </c>
      <c r="D20" s="0" t="n">
        <v>-5</v>
      </c>
      <c r="E20" s="12" t="s">
        <v>28</v>
      </c>
      <c r="F20" s="12" t="s">
        <v>25</v>
      </c>
      <c r="I20" s="0" t="str">
        <f aca="false">A19&amp;"\n\nEntradas:\n- Monto: " &amp; B19 &amp; "\n- Tasa: " &amp; C19*100 &amp; "%\n- Cuotas: " &amp; D19 &amp; "\nSalidas\nTotal Intereses: "</f>
        <v>Error Demasiadas Cuotas \n\nEntradas:\n- Monto: 95000\n- Tasa: 2.8%\n- Cuotas: 84\nSalidas\nTotal Intereses: </v>
      </c>
    </row>
  </sheetData>
  <mergeCells count="2">
    <mergeCell ref="B3:D3"/>
    <mergeCell ref="F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2026-08-10T23:44:42Z</dcterms:created>
  <dc:creator>openpyxl</dc:creator>
  <dc:description/>
  <dc:language>en-US</dc:language>
  <cp:lastModifiedBy>Pedro Jose Hernandez Delgado</cp:lastModifiedBy>
  <dcterms:modified xsi:type="dcterms:W3CDTF">2026-08-12T12:31:56Z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