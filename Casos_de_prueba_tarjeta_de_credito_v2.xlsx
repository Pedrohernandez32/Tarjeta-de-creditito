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20on\Downloads\"/>
    </mc:Choice>
  </mc:AlternateContent>
  <xr:revisionPtr revIDLastSave="0" documentId="13_ncr:1_{4CC506D6-48EB-47FA-BC07-0C173ED2C29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asos Tarjeta Credito 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9" i="1" l="1"/>
  <c r="I17" i="1"/>
  <c r="I16" i="1"/>
  <c r="E16" i="1"/>
  <c r="G12" i="1"/>
  <c r="H12" i="1" s="1"/>
  <c r="I12" i="1" s="1"/>
  <c r="F11" i="1"/>
  <c r="G11" i="1" s="1"/>
  <c r="H11" i="1" s="1"/>
  <c r="I11" i="1" s="1"/>
  <c r="E11" i="1"/>
  <c r="F7" i="1"/>
  <c r="G7" i="1" s="1"/>
  <c r="H7" i="1" s="1"/>
  <c r="I7" i="1" s="1"/>
  <c r="E7" i="1"/>
  <c r="F6" i="1"/>
  <c r="G6" i="1" s="1"/>
  <c r="H6" i="1" s="1"/>
  <c r="I6" i="1" s="1"/>
  <c r="E6" i="1"/>
</calcChain>
</file>

<file path=xl/sharedStrings.xml><?xml version="1.0" encoding="utf-8"?>
<sst xmlns="http://schemas.openxmlformats.org/spreadsheetml/2006/main" count="31" uniqueCount="27">
  <si>
    <t>ENTRADAS</t>
  </si>
  <si>
    <t>SALIDAS</t>
  </si>
  <si>
    <t>Casos Normales</t>
  </si>
  <si>
    <t>Valor de la Compra</t>
  </si>
  <si>
    <t>Tasa de Interés Mensual</t>
  </si>
  <si>
    <t>Plazo en meses</t>
  </si>
  <si>
    <t>Salida</t>
  </si>
  <si>
    <t>Cuota Mensual</t>
  </si>
  <si>
    <t>Total Abonos</t>
  </si>
  <si>
    <t>Total Intereses</t>
  </si>
  <si>
    <t>Casos Extraordinarios</t>
  </si>
  <si>
    <t>Casos de Error</t>
  </si>
  <si>
    <t>ERROR, la compra debe ser mayor que cero</t>
  </si>
  <si>
    <t>ERROR: El valor de la compra debe ser mayor que cero</t>
  </si>
  <si>
    <t>ERROR: La tasa es superior al maxímo de usura de 4% mensual</t>
  </si>
  <si>
    <t>ERROR, debe indicaral menos una cuota</t>
  </si>
  <si>
    <t>ERROR: El numero de cuotas debe estar entre 1 y 60</t>
  </si>
  <si>
    <t>ERROR, el numero de cuotas debe ser mayor que cero</t>
  </si>
  <si>
    <t>Caso Normal 1</t>
  </si>
  <si>
    <t>Caso Normal 2</t>
  </si>
  <si>
    <t xml:space="preserve">Tasa cero </t>
  </si>
  <si>
    <t xml:space="preserve">Cuota unica </t>
  </si>
  <si>
    <t xml:space="preserve">Error Compra </t>
  </si>
  <si>
    <t xml:space="preserve">Usura </t>
  </si>
  <si>
    <t xml:space="preserve">Error Cuotas </t>
  </si>
  <si>
    <t xml:space="preserve">Error Demasiadas Cuotas </t>
  </si>
  <si>
    <t xml:space="preserve">Error Negativo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</si>
</sst>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\-??_-;_-@_-"/>
  </numFmts>
  <fonts count="3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8" tint="0.59987182226020086"/>
        <bgColor rgb="FF99CCFF"/>
      </patternFill>
    </fill>
    <fill>
      <patternFill patternType="solid">
        <fgColor theme="9" tint="0.59987182226020086"/>
        <bgColor rgb="FFFFFF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7">
    <xf numFmtId="0" fontId="0" fillId="0" borderId="0" xfId="0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9" fontId="1" fillId="0" borderId="0" xfId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19"/>
  <sheetViews>
    <sheetView tabSelected="1" topLeftCell="A3" zoomScale="116" zoomScaleNormal="100" workbookViewId="0">
      <selection activeCell="G11" sqref="G11"/>
    </sheetView>
  </sheetViews>
  <sheetFormatPr baseColWidth="10" defaultColWidth="8.6640625" defaultRowHeight="14.4" x14ac:dyDescent="0.3"/>
  <cols>
    <col min="1" max="1" width="23.109375" bestFit="1" customWidth="1"/>
    <col min="2" max="2" width="16.109375" customWidth="1"/>
    <col min="3" max="3" width="12" customWidth="1"/>
    <col min="4" max="4" width="12.5546875" customWidth="1"/>
    <col min="5" max="5" width="45.33203125" bestFit="1" customWidth="1"/>
    <col min="6" max="6" width="52.44140625" bestFit="1" customWidth="1"/>
    <col min="7" max="7" width="18.5546875" customWidth="1"/>
    <col min="8" max="8" width="16" customWidth="1"/>
    <col min="9" max="9" width="96.21875" bestFit="1" customWidth="1"/>
    <col min="10" max="10" width="12.33203125" customWidth="1"/>
    <col min="11" max="11" width="13.6640625" customWidth="1"/>
  </cols>
  <sheetData>
    <row r="3" spans="1:9" x14ac:dyDescent="0.3">
      <c r="B3" s="2" t="s">
        <v>0</v>
      </c>
      <c r="C3" s="2"/>
      <c r="D3" s="2"/>
      <c r="F3" s="1" t="s">
        <v>1</v>
      </c>
      <c r="G3" s="1"/>
      <c r="H3" s="1"/>
    </row>
    <row r="4" spans="1:9" ht="43.2" x14ac:dyDescent="0.3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9" x14ac:dyDescent="0.3">
      <c r="A5" s="3" t="s">
        <v>2</v>
      </c>
    </row>
    <row r="6" spans="1:9" x14ac:dyDescent="0.3">
      <c r="A6" t="s">
        <v>18</v>
      </c>
      <c r="B6" s="5">
        <v>350000</v>
      </c>
      <c r="C6" s="6">
        <v>2.8000000000000001E-2</v>
      </c>
      <c r="D6">
        <v>18</v>
      </c>
      <c r="E6" s="5">
        <f>(B6*C6) / (1 - POWER( (1+C6), -D6) )</f>
        <v>25019.694817849515</v>
      </c>
      <c r="F6" s="5">
        <f>PMT(C6,D6,B6)*-1</f>
        <v>25019.694817849508</v>
      </c>
      <c r="G6" s="5">
        <f>F6*D6</f>
        <v>450354.50672129111</v>
      </c>
      <c r="H6">
        <f>ROUND(G6-B6,2)</f>
        <v>100354.51</v>
      </c>
      <c r="I6" t="str">
        <f>A6&amp;"\n\nEntradas:\n- Monto: " &amp; B6 &amp; "\n- Tasa: " &amp; C6*100 &amp; "%\n- Cuotas: " &amp; D6 &amp; "\nSalidas\nTotal Intereses: " &amp; H6</f>
        <v>Caso Normal 1\n\nEntradas:\n- Monto: 350000\n- Tasa: 2,8%\n- Cuotas: 18\nSalidas\nTotal Intereses: 100354,51</v>
      </c>
    </row>
    <row r="7" spans="1:9" x14ac:dyDescent="0.3">
      <c r="A7" t="s">
        <v>19</v>
      </c>
      <c r="B7" s="5">
        <v>1200000</v>
      </c>
      <c r="C7" s="6">
        <v>2.1000000000000001E-2</v>
      </c>
      <c r="D7">
        <v>48</v>
      </c>
      <c r="E7" s="5">
        <f>(B7*C7) / (1 - POWER( (1+C7), -D7) )</f>
        <v>39922.529344489973</v>
      </c>
      <c r="F7" s="5">
        <f>PMT(C7,D7,B7)*-1</f>
        <v>39922.529344489834</v>
      </c>
      <c r="G7" s="5">
        <f>F7*D7</f>
        <v>1916281.4085355122</v>
      </c>
      <c r="H7">
        <f>ROUND(G7-B7,2)</f>
        <v>716281.41</v>
      </c>
      <c r="I7" t="str">
        <f>A7&amp;"\n\nEntradas:\n- Monto: " &amp; B7 &amp; "\n- Tasa: " &amp; C7*100 &amp; "%\n- Cuotas: " &amp; D7 &amp; "\nSalidas\nTotal Intereses: " &amp; H7</f>
        <v>Caso Normal 2\n\nEntradas:\n- Monto: 1200000\n- Tasa: 2,1%\n- Cuotas: 48\nSalidas\nTotal Intereses: 716281,41</v>
      </c>
    </row>
    <row r="10" spans="1:9" x14ac:dyDescent="0.3">
      <c r="A10" s="3" t="s">
        <v>10</v>
      </c>
    </row>
    <row r="11" spans="1:9" x14ac:dyDescent="0.3">
      <c r="A11" t="s">
        <v>20</v>
      </c>
      <c r="B11" s="5">
        <v>600000</v>
      </c>
      <c r="C11" s="6">
        <v>0</v>
      </c>
      <c r="D11">
        <v>60</v>
      </c>
      <c r="E11" s="5">
        <f>B11/D11</f>
        <v>10000</v>
      </c>
      <c r="F11" s="5">
        <f>PMT(C11,D11,B11)*-1</f>
        <v>10000</v>
      </c>
      <c r="G11" s="5">
        <f>F11*D11</f>
        <v>600000</v>
      </c>
      <c r="H11">
        <f>ROUND(G11-B11,2)</f>
        <v>0</v>
      </c>
      <c r="I11" t="str">
        <f>A11&amp;"\n\nEntradas:\n- Monto: " &amp; B11 &amp; "\n- Tasa: " &amp; C11*100 &amp; "%\n- Cuotas: " &amp; D11 &amp; "\nSalidas\nTotal Intereses: " &amp; H11</f>
        <v>Tasa cero \n\nEntradas:\n- Monto: 600000\n- Tasa: 0%\n- Cuotas: 60\nSalidas\nTotal Intereses: 0</v>
      </c>
    </row>
    <row r="12" spans="1:9" x14ac:dyDescent="0.3">
      <c r="A12" t="s">
        <v>21</v>
      </c>
      <c r="B12" s="5">
        <v>45000</v>
      </c>
      <c r="C12" s="6">
        <v>3.9E-2</v>
      </c>
      <c r="D12">
        <v>1</v>
      </c>
      <c r="E12" s="5">
        <v>45000</v>
      </c>
      <c r="F12" s="5">
        <v>45000</v>
      </c>
      <c r="G12" s="5">
        <f>F12*D12</f>
        <v>45000</v>
      </c>
      <c r="H12">
        <f>ROUND(G12-B12,2)</f>
        <v>0</v>
      </c>
      <c r="I12" t="str">
        <f>A12&amp;"\n\nEntradas:\n- Monto: " &amp; B12 &amp; "\n- Tasa: " &amp; C12*100 &amp; "%\n- Cuotas: " &amp; D12 &amp; "\nSalidas\nTotal Intereses: " &amp; H12</f>
        <v>Cuota unica \n\nEntradas:\n- Monto: 45000\n- Tasa: 3,9%\n- Cuotas: 1\nSalidas\nTotal Intereses: 0</v>
      </c>
    </row>
    <row r="14" spans="1:9" x14ac:dyDescent="0.3">
      <c r="A14" s="3" t="s">
        <v>11</v>
      </c>
    </row>
    <row r="15" spans="1:9" x14ac:dyDescent="0.3">
      <c r="A15" t="s">
        <v>22</v>
      </c>
      <c r="B15" s="5">
        <v>-50000</v>
      </c>
      <c r="C15" s="6">
        <v>0.02</v>
      </c>
      <c r="D15">
        <v>36</v>
      </c>
      <c r="E15" t="s">
        <v>12</v>
      </c>
      <c r="F15" t="s">
        <v>13</v>
      </c>
    </row>
    <row r="16" spans="1:9" x14ac:dyDescent="0.3">
      <c r="A16" t="s">
        <v>23</v>
      </c>
      <c r="B16" s="5">
        <v>300000</v>
      </c>
      <c r="C16" s="6">
        <v>4.4999999999999998E-2</v>
      </c>
      <c r="D16">
        <v>24</v>
      </c>
      <c r="E16" s="5">
        <f>(B16*C16) / (1 - POWER( (1+C16), -D16) )</f>
        <v>20696.108981332371</v>
      </c>
      <c r="F16" t="s">
        <v>14</v>
      </c>
      <c r="I16" t="str">
        <f>A16&amp;"\n\nEntradas:\n- Monto: " &amp; B16 &amp; "\n- Tasa: " &amp; C16*100 &amp; "%\n- Cuotas: " &amp; D16 &amp; "\nSalidas\nTotal Intereses: "</f>
        <v xml:space="preserve">Usura \n\nEntradas:\n- Monto: 300000\n- Tasa: 4,5%\n- Cuotas: 24\nSalidas\nTotal Intereses: </v>
      </c>
    </row>
    <row r="17" spans="1:9" x14ac:dyDescent="0.3">
      <c r="A17" t="s">
        <v>24</v>
      </c>
      <c r="B17" s="5">
        <v>120000</v>
      </c>
      <c r="C17" s="6">
        <v>0.03</v>
      </c>
      <c r="D17">
        <v>0</v>
      </c>
      <c r="E17" t="s">
        <v>15</v>
      </c>
      <c r="F17" t="s">
        <v>16</v>
      </c>
      <c r="I17" t="str">
        <f>A17&amp;"\n\nEntradas:\n- Monto: " &amp; B17 &amp; "\n- Tasa: " &amp; C17*100 &amp; "%\n- Cuotas: " &amp; D17 &amp; "\nSalidas\nTotal Intereses: "</f>
        <v xml:space="preserve">Error Cuotas \n\nEntradas:\n- Monto: 120000\n- Tasa: 3%\n- Cuotas: 0\nSalidas\nTotal Intereses: </v>
      </c>
    </row>
    <row r="18" spans="1:9" x14ac:dyDescent="0.3">
      <c r="A18" t="s">
        <v>25</v>
      </c>
      <c r="B18" s="5">
        <v>95000</v>
      </c>
      <c r="C18" s="6">
        <v>2.8000000000000001E-2</v>
      </c>
      <c r="D18">
        <v>84</v>
      </c>
      <c r="E18" t="s">
        <v>15</v>
      </c>
      <c r="F18" t="s">
        <v>16</v>
      </c>
    </row>
    <row r="19" spans="1:9" x14ac:dyDescent="0.3">
      <c r="A19" t="s">
        <v>26</v>
      </c>
      <c r="B19" s="5">
        <v>70000</v>
      </c>
      <c r="C19" s="6">
        <v>1.4999999999999999E-2</v>
      </c>
      <c r="D19">
        <v>-5</v>
      </c>
      <c r="E19" t="s">
        <v>17</v>
      </c>
      <c r="F19" t="s">
        <v>16</v>
      </c>
      <c r="I19" t="str">
        <f>A19&amp;"\n\nEntradas:\n- Monto: " &amp; B19 &amp; "\n- Tasa: " &amp; C19*100 &amp; "%\n- Cuotas: " &amp; D19 &amp; "\nSalidas\nTotal Intereses: "</f>
        <v xml:space="preserve">Error Negativo \n\nEntradas:\n- Monto: 70000\n- Tasa: 1,5%\n- Cuotas: -5\nSalidas\nTotal Intereses: </v>
      </c>
    </row>
  </sheetData>
  <mergeCells count="2">
    <mergeCell ref="B3:D3"/>
    <mergeCell ref="F3:H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Tarjeta Credito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Pedro Jose Hernandez Delgado</cp:lastModifiedBy>
  <cp:revision>0</cp:revision>
  <dcterms:created xsi:type="dcterms:W3CDTF">2026-08-10T23:44:42Z</dcterms:created>
  <dcterms:modified xsi:type="dcterms:W3CDTF">2026-08-12T11:27:47Z</dcterms:modified>
  <dc:language>en-US</dc:language>
</cp:coreProperties>
</file>